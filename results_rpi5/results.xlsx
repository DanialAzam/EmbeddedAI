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>
    <definedName name="_xlnm._FilterDatabase" localSheetId="0" hidden="1">'Benchmark'!$A$1:$I$17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model</t>
        </is>
      </c>
      <c r="B1" s="1" t="inlineStr">
        <is>
          <t>size mb</t>
        </is>
      </c>
      <c r="C1" s="1" t="inlineStr">
        <is>
          <t>latency ms</t>
        </is>
      </c>
      <c r="D1" s="1" t="inlineStr">
        <is>
          <t>max fps</t>
        </is>
      </c>
      <c r="E1" s="1" t="inlineStr">
        <is>
          <t>veh per frame</t>
        </is>
      </c>
      <c r="F1" s="1" t="inlineStr">
        <is>
          <t>cpu pct</t>
        </is>
      </c>
      <c r="G1" s="1" t="inlineStr">
        <is>
          <t>ram mb</t>
        </is>
      </c>
      <c r="H1" s="1" t="inlineStr">
        <is>
          <t>mAP50 95</t>
        </is>
      </c>
      <c r="I1" s="1" t="inlineStr">
        <is>
          <t>device</t>
        </is>
      </c>
    </row>
    <row r="2">
      <c r="A2" s="2" t="inlineStr">
        <is>
          <t>01_trained_fp32.onnx</t>
        </is>
      </c>
      <c r="B2" s="3" t="n">
        <v>12.72</v>
      </c>
      <c r="C2" s="4" t="n">
        <v>36.9</v>
      </c>
      <c r="D2" s="4" t="n">
        <v>27.1</v>
      </c>
      <c r="E2" s="5" t="n">
        <v>8.130000000000001</v>
      </c>
      <c r="F2" s="4" t="n">
        <v>91.40000000000001</v>
      </c>
      <c r="G2" s="3" t="n">
        <v>386</v>
      </c>
      <c r="H2" s="6" t="inlineStr"/>
      <c r="I2" s="6" t="inlineStr">
        <is>
          <t>Raspberry Pi 5</t>
        </is>
      </c>
    </row>
    <row r="3">
      <c r="A3" s="2" t="inlineStr">
        <is>
          <t>02_int8_fp32head.onnx</t>
        </is>
      </c>
      <c r="B3" s="3" t="n">
        <v>6.16</v>
      </c>
      <c r="C3" s="4" t="n">
        <v>24.5</v>
      </c>
      <c r="D3" s="4" t="n">
        <v>40.8</v>
      </c>
      <c r="E3" s="5" t="n">
        <v>8.25</v>
      </c>
      <c r="F3" s="4" t="n">
        <v>87.3</v>
      </c>
      <c r="G3" s="3" t="n">
        <v>377</v>
      </c>
      <c r="H3" s="6" t="inlineStr"/>
      <c r="I3" s="6" t="inlineStr">
        <is>
          <t>Raspberry Pi 5</t>
        </is>
      </c>
    </row>
    <row r="4">
      <c r="A4" s="2" t="inlineStr">
        <is>
          <t>03_trained_fp16.onnx</t>
        </is>
      </c>
      <c r="B4" s="3" t="n">
        <v>6.4</v>
      </c>
      <c r="C4" s="4" t="n">
        <v>52.7</v>
      </c>
      <c r="D4" s="4" t="n">
        <v>19</v>
      </c>
      <c r="E4" s="5" t="n">
        <v>8.130000000000001</v>
      </c>
      <c r="F4" s="4" t="n">
        <v>89.3</v>
      </c>
      <c r="G4" s="3" t="n">
        <v>383</v>
      </c>
      <c r="H4" s="6" t="inlineStr"/>
      <c r="I4" s="6" t="inlineStr">
        <is>
          <t>Raspberry Pi 5</t>
        </is>
      </c>
    </row>
    <row r="5">
      <c r="A5" s="2" t="inlineStr">
        <is>
          <t>04_trained_int8_fp16head.onnx</t>
        </is>
      </c>
      <c r="B5" s="3" t="n">
        <v>4.45</v>
      </c>
      <c r="C5" s="4" t="n">
        <v>19.9</v>
      </c>
      <c r="D5" s="4" t="n">
        <v>50.4</v>
      </c>
      <c r="E5" s="5" t="n">
        <v>8.279999999999999</v>
      </c>
      <c r="F5" s="4" t="n">
        <v>82.2</v>
      </c>
      <c r="G5" s="3" t="n">
        <v>379</v>
      </c>
      <c r="H5" s="6" t="inlineStr"/>
      <c r="I5" s="6" t="inlineStr">
        <is>
          <t>Raspberry Pi 5</t>
        </is>
      </c>
    </row>
    <row r="6">
      <c r="A6" s="2" t="inlineStr">
        <is>
          <t>05_10_Pruned_fp32.onnx</t>
        </is>
      </c>
      <c r="B6" s="3" t="n">
        <v>10.72</v>
      </c>
      <c r="C6" s="4" t="n">
        <v>31.8</v>
      </c>
      <c r="D6" s="4" t="n">
        <v>31.5</v>
      </c>
      <c r="E6" s="5" t="n">
        <v>8.08</v>
      </c>
      <c r="F6" s="4" t="n">
        <v>90.90000000000001</v>
      </c>
      <c r="G6" s="3" t="n">
        <v>385</v>
      </c>
      <c r="H6" s="6" t="inlineStr"/>
      <c r="I6" s="6" t="inlineStr">
        <is>
          <t>Raspberry Pi 5</t>
        </is>
      </c>
    </row>
    <row r="7">
      <c r="A7" s="2" t="inlineStr">
        <is>
          <t>06_10_Pruned_int8_fp32.onnx</t>
        </is>
      </c>
      <c r="B7" s="3" t="n">
        <v>5.48</v>
      </c>
      <c r="C7" s="4" t="n">
        <v>22.8</v>
      </c>
      <c r="D7" s="4" t="n">
        <v>43.8</v>
      </c>
      <c r="E7" s="5" t="n">
        <v>7.94</v>
      </c>
      <c r="F7" s="4" t="n">
        <v>84.5</v>
      </c>
      <c r="G7" s="3" t="n">
        <v>377</v>
      </c>
      <c r="H7" s="6" t="inlineStr"/>
      <c r="I7" s="6" t="inlineStr">
        <is>
          <t>Raspberry Pi 5</t>
        </is>
      </c>
    </row>
    <row r="8">
      <c r="A8" s="2" t="inlineStr">
        <is>
          <t>07_10_Pruned_fp16.onnx</t>
        </is>
      </c>
      <c r="B8" s="3" t="n">
        <v>5.4</v>
      </c>
      <c r="C8" s="4" t="n">
        <v>25.2</v>
      </c>
      <c r="D8" s="4" t="n">
        <v>39.6</v>
      </c>
      <c r="E8" s="5" t="n">
        <v>8</v>
      </c>
      <c r="F8" s="4" t="n">
        <v>89.40000000000001</v>
      </c>
      <c r="G8" s="3" t="n">
        <v>384</v>
      </c>
      <c r="H8" s="6" t="inlineStr"/>
      <c r="I8" s="6" t="inlineStr">
        <is>
          <t>Raspberry Pi 5</t>
        </is>
      </c>
    </row>
    <row r="9">
      <c r="A9" s="2" t="inlineStr">
        <is>
          <t>08_10_Pruned_int8_fp16head.onnx</t>
        </is>
      </c>
      <c r="B9" s="3" t="n">
        <v>3.9</v>
      </c>
      <c r="C9" s="4" t="n">
        <v>19</v>
      </c>
      <c r="D9" s="4" t="n">
        <v>52.6</v>
      </c>
      <c r="E9" s="5" t="n">
        <v>7.91</v>
      </c>
      <c r="F9" s="4" t="n">
        <v>83.40000000000001</v>
      </c>
      <c r="G9" s="3" t="n">
        <v>379</v>
      </c>
      <c r="H9" s="6" t="inlineStr"/>
      <c r="I9" s="6" t="inlineStr">
        <is>
          <t>Raspberry Pi 5</t>
        </is>
      </c>
    </row>
    <row r="10">
      <c r="A10" s="2" t="inlineStr">
        <is>
          <t>09_20_Pruned_fp32.onnx</t>
        </is>
      </c>
      <c r="B10" s="3" t="n">
        <v>9.08</v>
      </c>
      <c r="C10" s="4" t="n">
        <v>28.2</v>
      </c>
      <c r="D10" s="4" t="n">
        <v>35.5</v>
      </c>
      <c r="E10" s="5" t="n">
        <v>7.86</v>
      </c>
      <c r="F10" s="4" t="n">
        <v>91.7</v>
      </c>
      <c r="G10" s="3" t="n">
        <v>383</v>
      </c>
      <c r="H10" s="6" t="inlineStr"/>
      <c r="I10" s="6" t="inlineStr">
        <is>
          <t>Raspberry Pi 5</t>
        </is>
      </c>
    </row>
    <row r="11">
      <c r="A11" s="2" t="inlineStr">
        <is>
          <t>10_20_Pruned_int8_fp32.onnx</t>
        </is>
      </c>
      <c r="B11" s="3" t="n">
        <v>4.91</v>
      </c>
      <c r="C11" s="4" t="n">
        <v>21.2</v>
      </c>
      <c r="D11" s="4" t="n">
        <v>47.2</v>
      </c>
      <c r="E11" s="5" t="n">
        <v>7.32</v>
      </c>
      <c r="F11" s="4" t="n">
        <v>89.09999999999999</v>
      </c>
      <c r="G11" s="3" t="n">
        <v>377</v>
      </c>
      <c r="H11" s="6" t="inlineStr"/>
      <c r="I11" s="6" t="inlineStr">
        <is>
          <t>Raspberry Pi 5</t>
        </is>
      </c>
    </row>
    <row r="12">
      <c r="A12" s="2" t="inlineStr">
        <is>
          <t>11_20_Pruned_fp16.onnx</t>
        </is>
      </c>
      <c r="B12" s="3" t="n">
        <v>4.58</v>
      </c>
      <c r="C12" s="4" t="n">
        <v>22.3</v>
      </c>
      <c r="D12" s="4" t="n">
        <v>44.9</v>
      </c>
      <c r="E12" s="5" t="n">
        <v>7.84</v>
      </c>
      <c r="F12" s="4" t="n">
        <v>90.59999999999999</v>
      </c>
      <c r="G12" s="3" t="n">
        <v>381</v>
      </c>
      <c r="H12" s="6" t="inlineStr"/>
      <c r="I12" s="6" t="inlineStr">
        <is>
          <t>Raspberry Pi 5</t>
        </is>
      </c>
    </row>
    <row r="13">
      <c r="A13" s="2" t="inlineStr">
        <is>
          <t>12_20_Pruned_int8_fp16head.onnx</t>
        </is>
      </c>
      <c r="B13" s="3" t="n">
        <v>3.43</v>
      </c>
      <c r="C13" s="4" t="n">
        <v>17.6</v>
      </c>
      <c r="D13" s="4" t="n">
        <v>56.8</v>
      </c>
      <c r="E13" s="5" t="n">
        <v>7.46</v>
      </c>
      <c r="F13" s="4" t="n">
        <v>90.5</v>
      </c>
      <c r="G13" s="3" t="n">
        <v>379</v>
      </c>
      <c r="H13" s="6" t="inlineStr"/>
      <c r="I13" s="6" t="inlineStr">
        <is>
          <t>Raspberry Pi 5</t>
        </is>
      </c>
    </row>
    <row r="14">
      <c r="A14" s="2" t="inlineStr">
        <is>
          <t>13_30_Pruned_fp32.onnx</t>
        </is>
      </c>
      <c r="B14" s="3" t="n">
        <v>7.68</v>
      </c>
      <c r="C14" s="4" t="n">
        <v>39.3</v>
      </c>
      <c r="D14" s="4" t="n">
        <v>25.4</v>
      </c>
      <c r="E14" s="5" t="n">
        <v>7.54</v>
      </c>
      <c r="F14" s="4" t="n">
        <v>86.40000000000001</v>
      </c>
      <c r="G14" s="3" t="n">
        <v>381</v>
      </c>
      <c r="H14" s="6" t="inlineStr"/>
      <c r="I14" s="6" t="inlineStr">
        <is>
          <t>Raspberry Pi 5</t>
        </is>
      </c>
    </row>
    <row r="15">
      <c r="A15" s="2" t="inlineStr">
        <is>
          <t>14_30_Pruned_int8_fp32.onnx</t>
        </is>
      </c>
      <c r="B15" s="3" t="n">
        <v>4.41</v>
      </c>
      <c r="C15" s="4" t="n">
        <v>28.3</v>
      </c>
      <c r="D15" s="4" t="n">
        <v>35.4</v>
      </c>
      <c r="E15" s="5" t="n">
        <v>7.61</v>
      </c>
      <c r="F15" s="4" t="n">
        <v>89.3</v>
      </c>
      <c r="G15" s="3" t="n">
        <v>376</v>
      </c>
      <c r="H15" s="6" t="inlineStr"/>
      <c r="I15" s="6" t="inlineStr">
        <is>
          <t>Raspberry Pi 5</t>
        </is>
      </c>
    </row>
    <row r="16">
      <c r="A16" s="2" t="inlineStr">
        <is>
          <t>15_30_Pruned_fp16.onnx</t>
        </is>
      </c>
      <c r="B16" s="3" t="n">
        <v>3.88</v>
      </c>
      <c r="C16" s="4" t="n">
        <v>18.8</v>
      </c>
      <c r="D16" s="4" t="n">
        <v>53.2</v>
      </c>
      <c r="E16" s="5" t="n">
        <v>7.56</v>
      </c>
      <c r="F16" s="4" t="n">
        <v>83.40000000000001</v>
      </c>
      <c r="G16" s="3" t="n">
        <v>378</v>
      </c>
      <c r="H16" s="6" t="inlineStr"/>
      <c r="I16" s="6" t="inlineStr">
        <is>
          <t>Raspberry Pi 5</t>
        </is>
      </c>
    </row>
    <row r="17">
      <c r="A17" s="2" t="inlineStr">
        <is>
          <t>16_30_Pruned_int8_fp16head.onnx</t>
        </is>
      </c>
      <c r="B17" s="3" t="n">
        <v>3.03</v>
      </c>
      <c r="C17" s="4" t="n">
        <v>15.8</v>
      </c>
      <c r="D17" s="4" t="n">
        <v>63.1</v>
      </c>
      <c r="E17" s="5" t="n">
        <v>7.83</v>
      </c>
      <c r="F17" s="4" t="n">
        <v>88.2</v>
      </c>
      <c r="G17" s="3" t="n">
        <v>381</v>
      </c>
      <c r="H17" s="6" t="inlineStr"/>
      <c r="I17" s="6" t="inlineStr">
        <is>
          <t>Raspberry Pi 5</t>
        </is>
      </c>
    </row>
    <row r="19">
      <c r="A19" s="7" t="inlineStr">
        <is>
          <t>Summary</t>
        </is>
      </c>
    </row>
    <row r="20">
      <c r="A20" s="8" t="inlineStr">
        <is>
          <t>Smallest model size (MB)</t>
        </is>
      </c>
      <c r="B20" s="9">
        <f>MIN(B2:B17)</f>
        <v/>
      </c>
    </row>
    <row r="21">
      <c r="A21" s="8" t="inlineStr">
        <is>
          <t>Best max FPS</t>
        </is>
      </c>
      <c r="B21" s="9">
        <f>MAX(D2:D17)</f>
        <v/>
      </c>
    </row>
    <row r="22">
      <c r="A22" s="8" t="inlineStr">
        <is>
          <t>Best accuracy (veh/frame)</t>
        </is>
      </c>
      <c r="B22" s="9">
        <f>MAX(E2:E17)</f>
        <v/>
      </c>
    </row>
    <row r="23">
      <c r="A23" s="8" t="inlineStr">
        <is>
          <t>Best mAP50-95</t>
        </is>
      </c>
      <c r="B23" s="10">
        <f>MAX(H2:H17)</f>
        <v/>
      </c>
    </row>
    <row r="24">
      <c r="A24" s="8" t="inlineStr">
        <is>
          <t>Average RAM (MB)</t>
        </is>
      </c>
      <c r="B24" s="9">
        <f>AVERAGE(G2:G17)</f>
        <v/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2026-06-17T20:39:24Z</dcterms:created>
  <dcterms:modified xmlns:dcterms="http://purl.org/dc/terms/" xmlns:xsi="http://www.w3.org/2001/XMLSchema-instance" xsi:type="dcterms:W3CDTF">2026-06-17T20:39:24Z</dcterms:modified>
</cp:coreProperties>
</file>